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99994F7-5868-4712-BFDD-CAB94DA8397E}" xr6:coauthVersionLast="47" xr6:coauthVersionMax="47" xr10:uidLastSave="{00000000-0000-0000-0000-000000000000}"/>
  <bookViews>
    <workbookView xWindow="-120" yWindow="-120" windowWidth="20730" windowHeight="11040" xr2:uid="{C6CCB381-21CA-4FB0-B872-2CD36938CEA9}"/>
  </bookViews>
  <sheets>
    <sheet name="Sheet1" sheetId="1" r:id="rId1"/>
  </sheets>
  <definedNames>
    <definedName name="solver_adj" localSheetId="0" hidden="1">Sheet1!$P$14:$W$23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Sheet1!$Y$14:$Y$18</definedName>
    <definedName name="solver_lhs2" localSheetId="0" hidden="1">Sheet1!$Y$19:$Y$28</definedName>
    <definedName name="solver_lhs3" localSheetId="0" hidden="1">Sheet1!$Y$29:$Y$36</definedName>
    <definedName name="solver_lhs4" localSheetId="0" hidden="1">Sheet1!$Y$38</definedName>
    <definedName name="solver_lhs5" localSheetId="0" hidden="1">Sheet1!$Y$39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5</definedName>
    <definedName name="solver_nwt" localSheetId="0" hidden="1">1</definedName>
    <definedName name="solver_opt" localSheetId="0" hidden="1">Sheet1!$X$14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1</definedName>
    <definedName name="solver_rel3" localSheetId="0" hidden="1">1</definedName>
    <definedName name="solver_rel4" localSheetId="0" hidden="1">1</definedName>
    <definedName name="solver_rel5" localSheetId="0" hidden="1">1</definedName>
    <definedName name="solver_rhs1" localSheetId="0" hidden="1">Sheet1!$AA$14:$AA$18</definedName>
    <definedName name="solver_rhs2" localSheetId="0" hidden="1">Sheet1!$AA$19:$AA$28</definedName>
    <definedName name="solver_rhs3" localSheetId="0" hidden="1">Sheet1!$AA$29:$AA$36</definedName>
    <definedName name="solver_rhs4" localSheetId="0" hidden="1">1</definedName>
    <definedName name="solver_rhs5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9" i="1" l="1"/>
  <c r="Y38" i="1"/>
  <c r="X14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J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Janice</author>
  </authors>
  <commentList>
    <comment ref="C2" authorId="0" shapeId="0" xr:uid="{10D20860-3760-4C39-9953-758966000EED}">
      <text>
        <r>
          <rPr>
            <sz val="9"/>
            <color rgb="FF000000"/>
            <rFont val="Tahoma"/>
            <family val="2"/>
          </rPr>
          <t xml:space="preserve">Business Strategy
</t>
        </r>
      </text>
    </comment>
    <comment ref="D2" authorId="0" shapeId="0" xr:uid="{F17778B9-DD09-47B9-8C3B-8B65E371D849}">
      <text>
        <r>
          <rPr>
            <sz val="9"/>
            <color rgb="FF000000"/>
            <rFont val="Tahoma"/>
            <family val="2"/>
          </rPr>
          <t xml:space="preserve">International Finance
</t>
        </r>
      </text>
    </comment>
    <comment ref="E2" authorId="0" shapeId="0" xr:uid="{DA86AEBC-358D-41B3-827B-32B513482A1E}">
      <text>
        <r>
          <rPr>
            <sz val="9"/>
            <color rgb="FF000000"/>
            <rFont val="Tahoma"/>
            <family val="2"/>
          </rPr>
          <t xml:space="preserve">Intergenerational Computing
</t>
        </r>
      </text>
    </comment>
    <comment ref="F2" authorId="0" shapeId="0" xr:uid="{DCE4FB90-5DAC-42FF-AD34-6BD3B6DA5737}">
      <text>
        <r>
          <rPr>
            <sz val="9"/>
            <color rgb="FF000000"/>
            <rFont val="Tahoma"/>
            <family val="2"/>
          </rPr>
          <t xml:space="preserve">Web Design
</t>
        </r>
      </text>
    </comment>
    <comment ref="G2" authorId="0" shapeId="0" xr:uid="{B859407F-F481-4416-B6B0-31E27A2BCCCC}">
      <text>
        <r>
          <rPr>
            <sz val="9"/>
            <color rgb="FF000000"/>
            <rFont val="Tahoma"/>
            <family val="2"/>
          </rPr>
          <t xml:space="preserve">Data Analysis in Finance
</t>
        </r>
      </text>
    </comment>
    <comment ref="H2" authorId="0" shapeId="0" xr:uid="{C5AE0497-6721-4873-89D7-7A44CE04D7FC}">
      <text>
        <r>
          <rPr>
            <sz val="9"/>
            <color rgb="FF000000"/>
            <rFont val="Tahoma"/>
            <family val="2"/>
          </rPr>
          <t xml:space="preserve">Risk Management
</t>
        </r>
      </text>
    </comment>
    <comment ref="I2" authorId="0" shapeId="0" xr:uid="{D6F89F6A-6CF0-4061-A2B2-BD2F83B61D59}">
      <text>
        <r>
          <rPr>
            <sz val="9"/>
            <color rgb="FF000000"/>
            <rFont val="Tahoma"/>
            <family val="2"/>
          </rPr>
          <t xml:space="preserve">Options, Futures and Swaps
</t>
        </r>
      </text>
    </comment>
    <comment ref="J2" authorId="0" shapeId="0" xr:uid="{A04B12AC-F006-491A-ACEC-8EA7C02087DB}">
      <text>
        <r>
          <rPr>
            <sz val="9"/>
            <color rgb="FF000000"/>
            <rFont val="Tahoma"/>
            <family val="2"/>
          </rPr>
          <t xml:space="preserve">Fixed Instruments and Markets
</t>
        </r>
      </text>
    </comment>
  </commentList>
</comments>
</file>

<file path=xl/sharedStrings.xml><?xml version="1.0" encoding="utf-8"?>
<sst xmlns="http://schemas.openxmlformats.org/spreadsheetml/2006/main" count="74" uniqueCount="25">
  <si>
    <t>Time Slots</t>
  </si>
  <si>
    <t>BIS101</t>
  </si>
  <si>
    <t>FIN300</t>
  </si>
  <si>
    <t>CIS 101</t>
  </si>
  <si>
    <t>CIS 102</t>
  </si>
  <si>
    <t>FIN 315</t>
  </si>
  <si>
    <t>FIN 316</t>
  </si>
  <si>
    <t>FIN 317</t>
  </si>
  <si>
    <t>FIN 318</t>
  </si>
  <si>
    <t>M Eve</t>
  </si>
  <si>
    <t>T Eve</t>
  </si>
  <si>
    <t>W Eve</t>
  </si>
  <si>
    <t>Th Eve</t>
  </si>
  <si>
    <t>F Eve</t>
  </si>
  <si>
    <t>M 1:25-3:15
W 1:25-2:20</t>
  </si>
  <si>
    <t>M 1:25-2:20
W 1:25-3:15</t>
  </si>
  <si>
    <t>W 2:30-5:15</t>
  </si>
  <si>
    <t>T 1:25-3:15
Th 1:25-2:20</t>
  </si>
  <si>
    <t>Th 2:30-5:15</t>
  </si>
  <si>
    <t>Slot</t>
  </si>
  <si>
    <t>LHS</t>
  </si>
  <si>
    <t>RHS</t>
  </si>
  <si>
    <t>Obj</t>
  </si>
  <si>
    <t>&lt;=</t>
  </si>
  <si>
    <t>Initial Table Returning objective of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</si>
</sst>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General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b/>
      <sz val="11"/>
      <color indexed="21"/>
      <name val="Calibri"/>
      <family val="2"/>
      <scheme val="minor"/>
    </font>
    <font>
      <u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</borders>
  <cellStyleXfs count="2">
    <xf numFmtId="0" fontId="0" fillId="0" borderId="0"/>
    <xf numFmtId="164" fontId="2" fillId="0" borderId="1"/>
  </cellStyleXfs>
  <cellXfs count="23">
    <xf numFmtId="0" fontId="0" fillId="0" borderId="0" xfId="0"/>
    <xf numFmtId="164" fontId="3" fillId="0" borderId="0" xfId="1" applyFont="1" applyBorder="1"/>
    <xf numFmtId="164" fontId="4" fillId="0" borderId="0" xfId="1" applyFont="1" applyBorder="1"/>
    <xf numFmtId="164" fontId="1" fillId="0" borderId="0" xfId="1" applyFont="1" applyBorder="1" applyAlignment="1">
      <alignment horizontal="center"/>
    </xf>
    <xf numFmtId="164" fontId="3" fillId="0" borderId="0" xfId="1" applyFont="1" applyBorder="1" applyAlignment="1">
      <alignment wrapText="1"/>
    </xf>
    <xf numFmtId="164" fontId="5" fillId="0" borderId="0" xfId="1" applyFont="1" applyBorder="1" applyAlignment="1">
      <alignment wrapText="1"/>
    </xf>
    <xf numFmtId="164" fontId="3" fillId="0" borderId="0" xfId="1" applyFont="1" applyBorder="1" applyAlignment="1">
      <alignment horizontal="center" wrapText="1"/>
    </xf>
    <xf numFmtId="164" fontId="3" fillId="0" borderId="0" xfId="1" applyFont="1" applyBorder="1" applyAlignment="1">
      <alignment vertical="center"/>
    </xf>
    <xf numFmtId="164" fontId="6" fillId="0" borderId="2" xfId="1" applyFont="1" applyBorder="1" applyAlignment="1">
      <alignment horizontal="center"/>
    </xf>
    <xf numFmtId="164" fontId="6" fillId="0" borderId="3" xfId="1" applyFont="1" applyBorder="1" applyAlignment="1">
      <alignment horizontal="center"/>
    </xf>
    <xf numFmtId="164" fontId="6" fillId="0" borderId="4" xfId="1" applyFont="1" applyBorder="1" applyAlignment="1">
      <alignment horizontal="center"/>
    </xf>
    <xf numFmtId="164" fontId="6" fillId="0" borderId="5" xfId="1" applyFont="1" applyBorder="1" applyAlignment="1">
      <alignment horizontal="center"/>
    </xf>
    <xf numFmtId="164" fontId="6" fillId="0" borderId="6" xfId="1" applyFont="1" applyBorder="1" applyAlignment="1">
      <alignment horizontal="center"/>
    </xf>
    <xf numFmtId="164" fontId="6" fillId="0" borderId="7" xfId="1" applyFont="1" applyBorder="1" applyAlignment="1">
      <alignment horizontal="center"/>
    </xf>
    <xf numFmtId="0" fontId="6" fillId="0" borderId="0" xfId="0" applyFont="1"/>
    <xf numFmtId="164" fontId="6" fillId="0" borderId="8" xfId="1" applyFont="1" applyBorder="1" applyAlignment="1">
      <alignment horizontal="center"/>
    </xf>
    <xf numFmtId="164" fontId="6" fillId="0" borderId="9" xfId="1" applyFont="1" applyBorder="1" applyAlignment="1">
      <alignment horizontal="center"/>
    </xf>
    <xf numFmtId="164" fontId="6" fillId="0" borderId="10" xfId="1" applyFont="1" applyBorder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2">
    <cellStyle name="Normal" xfId="0" builtinId="0"/>
    <cellStyle name="Normal_Trans_min" xfId="1" xr:uid="{15A5D53C-20CF-4671-8F42-6167C1A25BC9}"/>
  </cellStyles>
  <dxfs count="1">
    <dxf>
      <font>
        <color rgb="FF006100"/>
      </font>
      <fill>
        <patternFill>
          <bgColor rgb="FFC6EFCE"/>
        </patternFill>
      </fill>
    </dxf>
  </dxfs>
  <tableStyles count="1" defaultTableStyle="TableStyleMedium2" defaultPivotStyle="PivotStyleLight16">
    <tableStyle name="Invisible" pivot="0" table="0" count="0" xr9:uid="{306C1A84-8C93-49D8-A0B8-5F2A6D3034B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12DE4-2A12-46F1-AF54-4D22AB3B2ACA}">
  <dimension ref="A1:AA39"/>
  <sheetViews>
    <sheetView tabSelected="1" topLeftCell="H3" workbookViewId="0">
      <selection activeCell="G15" sqref="G15"/>
    </sheetView>
  </sheetViews>
  <sheetFormatPr defaultRowHeight="15" x14ac:dyDescent="0.25"/>
  <sheetData>
    <row r="1" spans="1:27" x14ac:dyDescent="0.25">
      <c r="A1" s="1"/>
      <c r="B1" s="2"/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</row>
    <row r="2" spans="1:27" ht="30" x14ac:dyDescent="0.25">
      <c r="A2" s="4"/>
      <c r="B2" s="5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</row>
    <row r="3" spans="1:27" x14ac:dyDescent="0.25">
      <c r="A3" s="7">
        <v>1</v>
      </c>
      <c r="B3" s="1" t="s">
        <v>9</v>
      </c>
      <c r="C3" s="8">
        <v>4.3</v>
      </c>
      <c r="D3" s="9"/>
      <c r="E3" s="9"/>
      <c r="F3" s="9"/>
      <c r="G3" s="9"/>
      <c r="H3" s="9">
        <v>3.6</v>
      </c>
      <c r="I3" s="9"/>
      <c r="J3" s="10">
        <v>3</v>
      </c>
    </row>
    <row r="4" spans="1:27" x14ac:dyDescent="0.25">
      <c r="A4" s="7">
        <v>2</v>
      </c>
      <c r="B4" s="1" t="s">
        <v>10</v>
      </c>
      <c r="C4" s="11">
        <v>3.8</v>
      </c>
      <c r="D4" s="12"/>
      <c r="E4" s="12"/>
      <c r="F4" s="12">
        <v>3.7</v>
      </c>
      <c r="G4" s="12"/>
      <c r="H4" s="12"/>
      <c r="I4" s="12">
        <v>3.2</v>
      </c>
      <c r="J4" s="13"/>
    </row>
    <row r="5" spans="1:27" x14ac:dyDescent="0.25">
      <c r="A5" s="7">
        <v>3</v>
      </c>
      <c r="B5" s="1" t="s">
        <v>11</v>
      </c>
      <c r="C5" s="11">
        <v>3.5</v>
      </c>
      <c r="D5" s="12">
        <v>3.5</v>
      </c>
      <c r="E5" s="12"/>
      <c r="F5" s="12"/>
      <c r="G5" s="12"/>
      <c r="H5" s="12"/>
      <c r="I5" s="12"/>
      <c r="J5" s="13">
        <v>3.5</v>
      </c>
    </row>
    <row r="6" spans="1:27" x14ac:dyDescent="0.25">
      <c r="A6" s="7">
        <v>4</v>
      </c>
      <c r="B6" s="1" t="s">
        <v>12</v>
      </c>
      <c r="C6" s="11"/>
      <c r="D6" s="12"/>
      <c r="E6" s="12"/>
      <c r="F6" s="12"/>
      <c r="G6" s="12">
        <v>3</v>
      </c>
      <c r="H6" s="12"/>
      <c r="I6" s="12"/>
      <c r="J6" s="13"/>
    </row>
    <row r="7" spans="1:27" x14ac:dyDescent="0.25">
      <c r="A7" s="7">
        <v>5</v>
      </c>
      <c r="B7" s="1" t="s">
        <v>13</v>
      </c>
      <c r="C7" s="11">
        <v>3.5</v>
      </c>
      <c r="D7" s="12"/>
      <c r="E7" s="12"/>
      <c r="F7" s="12"/>
      <c r="G7" s="12"/>
      <c r="H7" s="12"/>
      <c r="I7" s="12"/>
      <c r="J7" s="13"/>
    </row>
    <row r="8" spans="1:27" ht="60" x14ac:dyDescent="0.25">
      <c r="A8" s="7">
        <v>6</v>
      </c>
      <c r="B8" s="4" t="s">
        <v>14</v>
      </c>
      <c r="C8" s="11"/>
      <c r="D8" s="12"/>
      <c r="E8" s="12"/>
      <c r="F8" s="12"/>
      <c r="G8" s="12"/>
      <c r="H8" s="12">
        <v>3.9</v>
      </c>
      <c r="I8" s="12"/>
      <c r="J8" s="13"/>
    </row>
    <row r="9" spans="1:27" ht="60" x14ac:dyDescent="0.25">
      <c r="A9" s="7">
        <v>7</v>
      </c>
      <c r="B9" s="4" t="s">
        <v>15</v>
      </c>
      <c r="C9" s="11">
        <v>4.5999999999999996</v>
      </c>
      <c r="D9" s="12"/>
      <c r="E9" s="12"/>
      <c r="F9" s="12"/>
      <c r="G9" s="12">
        <v>3.7</v>
      </c>
      <c r="H9" s="12"/>
      <c r="I9" s="12"/>
      <c r="J9" s="13"/>
    </row>
    <row r="10" spans="1:27" x14ac:dyDescent="0.25">
      <c r="A10" s="7">
        <v>8</v>
      </c>
      <c r="B10" s="1" t="s">
        <v>16</v>
      </c>
      <c r="C10" s="11"/>
      <c r="D10" s="12"/>
      <c r="E10" s="12">
        <v>4.4000000000000004</v>
      </c>
      <c r="F10" s="12">
        <v>3.5</v>
      </c>
      <c r="G10" s="12"/>
      <c r="H10" s="12"/>
      <c r="I10" s="14"/>
      <c r="J10" s="13"/>
    </row>
    <row r="11" spans="1:27" ht="60" x14ac:dyDescent="0.25">
      <c r="A11" s="7">
        <v>9</v>
      </c>
      <c r="B11" s="4" t="s">
        <v>17</v>
      </c>
      <c r="C11" s="11">
        <v>2.7</v>
      </c>
      <c r="D11" s="12">
        <v>3.3</v>
      </c>
      <c r="E11" s="12"/>
      <c r="F11" s="12"/>
      <c r="G11" s="12"/>
      <c r="H11" s="12"/>
      <c r="I11" s="12">
        <v>3.4</v>
      </c>
      <c r="J11" s="13"/>
    </row>
    <row r="12" spans="1:27" x14ac:dyDescent="0.25">
      <c r="A12" s="7">
        <v>10</v>
      </c>
      <c r="B12" s="1" t="s">
        <v>18</v>
      </c>
      <c r="C12" s="15"/>
      <c r="D12" s="16"/>
      <c r="E12" s="16">
        <v>3.1</v>
      </c>
      <c r="F12" s="16"/>
      <c r="G12" s="16"/>
      <c r="H12" s="16"/>
      <c r="I12" s="16"/>
      <c r="J12" s="17"/>
    </row>
    <row r="13" spans="1:27" x14ac:dyDescent="0.25">
      <c r="O13" t="s">
        <v>19</v>
      </c>
      <c r="P13" t="s">
        <v>1</v>
      </c>
      <c r="Q13" t="s">
        <v>2</v>
      </c>
      <c r="R13" t="s">
        <v>3</v>
      </c>
      <c r="S13" t="s">
        <v>4</v>
      </c>
      <c r="T13" t="s">
        <v>5</v>
      </c>
      <c r="U13" t="s">
        <v>6</v>
      </c>
      <c r="V13" t="s">
        <v>7</v>
      </c>
      <c r="W13" t="s">
        <v>8</v>
      </c>
      <c r="X13" t="s">
        <v>22</v>
      </c>
      <c r="Y13" t="s">
        <v>20</v>
      </c>
      <c r="AA13" t="s">
        <v>21</v>
      </c>
    </row>
    <row r="14" spans="1:27" x14ac:dyDescent="0.25">
      <c r="A14" t="s">
        <v>19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22</v>
      </c>
      <c r="K14" t="s">
        <v>20</v>
      </c>
      <c r="M14" t="s">
        <v>21</v>
      </c>
      <c r="O14">
        <v>1</v>
      </c>
      <c r="P14" s="20">
        <v>1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21">
        <f>SUMPRODUCT(C3:J12,P14:W23)</f>
        <v>19.5</v>
      </c>
      <c r="Y14" s="22">
        <f>SUM(P14:W23)</f>
        <v>5</v>
      </c>
      <c r="AA14">
        <v>5</v>
      </c>
    </row>
    <row r="15" spans="1:27" x14ac:dyDescent="0.25">
      <c r="A15" s="7">
        <v>1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1</v>
      </c>
      <c r="H15" s="18">
        <v>0</v>
      </c>
      <c r="I15" s="18">
        <v>0</v>
      </c>
      <c r="J15">
        <f>SUMPRODUCT(C3:J12,B15:I24)</f>
        <v>20</v>
      </c>
      <c r="K15">
        <f>SUM(B15:I24)</f>
        <v>5</v>
      </c>
      <c r="M15">
        <v>5</v>
      </c>
      <c r="O15">
        <v>2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21"/>
      <c r="Y15" s="22">
        <f>SUM(P14:P23)</f>
        <v>1</v>
      </c>
      <c r="AA15">
        <v>1</v>
      </c>
    </row>
    <row r="16" spans="1:27" x14ac:dyDescent="0.25">
      <c r="A16" s="7">
        <v>2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K16">
        <f>SUM(B15:B24)</f>
        <v>1</v>
      </c>
      <c r="M16">
        <v>1</v>
      </c>
      <c r="O16">
        <v>3</v>
      </c>
      <c r="P16" s="19">
        <v>0</v>
      </c>
      <c r="Q16" s="20">
        <v>1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21"/>
      <c r="Y16" s="22">
        <f>SUM(Q14:Q23)</f>
        <v>1</v>
      </c>
      <c r="AA16">
        <v>1</v>
      </c>
    </row>
    <row r="17" spans="1:27" x14ac:dyDescent="0.25">
      <c r="A17" s="7">
        <v>3</v>
      </c>
      <c r="B17" s="18">
        <v>0</v>
      </c>
      <c r="C17" s="18">
        <v>1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K17">
        <f>SUM(C15:C24)</f>
        <v>1</v>
      </c>
      <c r="M17">
        <v>1</v>
      </c>
      <c r="O17">
        <v>4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21"/>
      <c r="Y17" s="22">
        <f>SUM(R14:R23) + SUM(S14:S23)</f>
        <v>1</v>
      </c>
      <c r="AA17">
        <v>1</v>
      </c>
    </row>
    <row r="18" spans="1:27" x14ac:dyDescent="0.25">
      <c r="A18" s="7">
        <v>4</v>
      </c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K18">
        <f>SUM(D15:D24) +SUM(E15:E24)</f>
        <v>1</v>
      </c>
      <c r="M18">
        <v>1</v>
      </c>
      <c r="O18">
        <v>5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21"/>
      <c r="Y18" s="22">
        <f>SUM(T14:T23) + SUM(U14:U23) + SUM(V14:V23) + SUM(W14:W23)</f>
        <v>2</v>
      </c>
      <c r="AA18">
        <v>2</v>
      </c>
    </row>
    <row r="19" spans="1:27" x14ac:dyDescent="0.25">
      <c r="A19" s="7">
        <v>5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K19">
        <f>SUM(F15:F24) + SUM(G15:G24) + SUM(H15:H24) + SUM(I15:I24)</f>
        <v>2</v>
      </c>
      <c r="M19">
        <v>2</v>
      </c>
      <c r="O19">
        <v>6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20">
        <v>1</v>
      </c>
      <c r="V19" s="19">
        <v>0</v>
      </c>
      <c r="W19" s="19">
        <v>0</v>
      </c>
      <c r="X19" s="21"/>
      <c r="Y19" s="22">
        <f t="shared" ref="Y19:Y28" si="0">SUM(P14:W14)</f>
        <v>1</v>
      </c>
      <c r="Z19" t="s">
        <v>23</v>
      </c>
      <c r="AA19">
        <v>1</v>
      </c>
    </row>
    <row r="20" spans="1:27" x14ac:dyDescent="0.25">
      <c r="A20" s="7">
        <v>6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1</v>
      </c>
      <c r="H20" s="18">
        <v>0</v>
      </c>
      <c r="I20" s="18">
        <v>0</v>
      </c>
      <c r="K20">
        <f t="shared" ref="K20:K29" si="1">SUM(B15:I15)</f>
        <v>1</v>
      </c>
      <c r="L20" t="s">
        <v>23</v>
      </c>
      <c r="M20">
        <v>1</v>
      </c>
      <c r="O20">
        <v>7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21"/>
      <c r="Y20" s="22">
        <f t="shared" si="0"/>
        <v>0</v>
      </c>
      <c r="Z20" t="s">
        <v>23</v>
      </c>
      <c r="AA20">
        <v>1</v>
      </c>
    </row>
    <row r="21" spans="1:27" x14ac:dyDescent="0.25">
      <c r="A21" s="7">
        <v>7</v>
      </c>
      <c r="B21" s="18">
        <v>1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K21">
        <f t="shared" si="1"/>
        <v>0</v>
      </c>
      <c r="L21" t="s">
        <v>23</v>
      </c>
      <c r="M21">
        <v>1</v>
      </c>
      <c r="O21">
        <v>8</v>
      </c>
      <c r="P21" s="19">
        <v>0</v>
      </c>
      <c r="Q21" s="19">
        <v>0</v>
      </c>
      <c r="R21" s="20">
        <v>1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21"/>
      <c r="Y21" s="22">
        <f t="shared" si="0"/>
        <v>1</v>
      </c>
      <c r="Z21" t="s">
        <v>23</v>
      </c>
      <c r="AA21">
        <v>1</v>
      </c>
    </row>
    <row r="22" spans="1:27" x14ac:dyDescent="0.25">
      <c r="A22" s="7">
        <v>8</v>
      </c>
      <c r="B22" s="18">
        <v>0</v>
      </c>
      <c r="C22" s="18">
        <v>0</v>
      </c>
      <c r="D22" s="18">
        <v>1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K22">
        <f t="shared" si="1"/>
        <v>1</v>
      </c>
      <c r="L22" t="s">
        <v>23</v>
      </c>
      <c r="M22">
        <v>1</v>
      </c>
      <c r="O22">
        <v>9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20">
        <v>1</v>
      </c>
      <c r="W22" s="19">
        <v>0</v>
      </c>
      <c r="X22" s="21"/>
      <c r="Y22" s="22">
        <f t="shared" si="0"/>
        <v>0</v>
      </c>
      <c r="Z22" t="s">
        <v>23</v>
      </c>
      <c r="AA22">
        <v>1</v>
      </c>
    </row>
    <row r="23" spans="1:27" x14ac:dyDescent="0.25">
      <c r="A23" s="7">
        <v>9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K23">
        <f t="shared" si="1"/>
        <v>0</v>
      </c>
      <c r="L23" t="s">
        <v>23</v>
      </c>
      <c r="M23">
        <v>1</v>
      </c>
      <c r="O23">
        <v>10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21"/>
      <c r="Y23" s="22">
        <f t="shared" si="0"/>
        <v>0</v>
      </c>
      <c r="Z23" t="s">
        <v>23</v>
      </c>
      <c r="AA23">
        <v>1</v>
      </c>
    </row>
    <row r="24" spans="1:27" x14ac:dyDescent="0.25">
      <c r="A24" s="7">
        <v>10</v>
      </c>
      <c r="B24" s="18">
        <v>0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K24">
        <f t="shared" si="1"/>
        <v>0</v>
      </c>
      <c r="L24" t="s">
        <v>23</v>
      </c>
      <c r="M24">
        <v>1</v>
      </c>
      <c r="Y24" s="22">
        <f t="shared" si="0"/>
        <v>1</v>
      </c>
      <c r="Z24" t="s">
        <v>23</v>
      </c>
      <c r="AA24">
        <v>1</v>
      </c>
    </row>
    <row r="25" spans="1:27" x14ac:dyDescent="0.25">
      <c r="K25">
        <f t="shared" si="1"/>
        <v>1</v>
      </c>
      <c r="L25" t="s">
        <v>23</v>
      </c>
      <c r="M25">
        <v>1</v>
      </c>
      <c r="Y25" s="22">
        <f t="shared" si="0"/>
        <v>0</v>
      </c>
      <c r="Z25" t="s">
        <v>23</v>
      </c>
      <c r="AA25">
        <v>1</v>
      </c>
    </row>
    <row r="26" spans="1:27" x14ac:dyDescent="0.25">
      <c r="D26" t="s">
        <v>24</v>
      </c>
      <c r="K26">
        <f t="shared" si="1"/>
        <v>1</v>
      </c>
      <c r="L26" t="s">
        <v>23</v>
      </c>
      <c r="M26">
        <v>1</v>
      </c>
      <c r="Y26" s="22">
        <f t="shared" si="0"/>
        <v>1</v>
      </c>
      <c r="Z26" t="s">
        <v>23</v>
      </c>
      <c r="AA26">
        <v>1</v>
      </c>
    </row>
    <row r="27" spans="1:27" x14ac:dyDescent="0.25">
      <c r="K27">
        <f t="shared" si="1"/>
        <v>1</v>
      </c>
      <c r="L27" t="s">
        <v>23</v>
      </c>
      <c r="M27">
        <v>1</v>
      </c>
      <c r="Y27" s="22">
        <f t="shared" si="0"/>
        <v>1</v>
      </c>
      <c r="Z27" t="s">
        <v>23</v>
      </c>
      <c r="AA27">
        <v>1</v>
      </c>
    </row>
    <row r="28" spans="1:27" x14ac:dyDescent="0.25">
      <c r="K28">
        <f t="shared" si="1"/>
        <v>0</v>
      </c>
      <c r="L28" t="s">
        <v>23</v>
      </c>
      <c r="M28">
        <v>1</v>
      </c>
      <c r="Y28" s="22">
        <f t="shared" si="0"/>
        <v>0</v>
      </c>
      <c r="Z28" t="s">
        <v>23</v>
      </c>
      <c r="AA28">
        <v>1</v>
      </c>
    </row>
    <row r="29" spans="1:27" x14ac:dyDescent="0.25">
      <c r="K29">
        <f t="shared" si="1"/>
        <v>0</v>
      </c>
      <c r="L29" t="s">
        <v>23</v>
      </c>
      <c r="M29">
        <v>1</v>
      </c>
      <c r="Y29" s="22">
        <f>SUM(P14:P23)</f>
        <v>1</v>
      </c>
      <c r="Z29" t="s">
        <v>23</v>
      </c>
      <c r="AA29">
        <v>1</v>
      </c>
    </row>
    <row r="30" spans="1:27" x14ac:dyDescent="0.25">
      <c r="Y30" s="22">
        <f>SUM(Q14:Q23)</f>
        <v>1</v>
      </c>
      <c r="Z30" t="s">
        <v>23</v>
      </c>
      <c r="AA30">
        <v>1</v>
      </c>
    </row>
    <row r="31" spans="1:27" x14ac:dyDescent="0.25">
      <c r="Y31" s="22">
        <f>SUM(R14:R23)</f>
        <v>1</v>
      </c>
      <c r="Z31" t="s">
        <v>23</v>
      </c>
      <c r="AA31">
        <v>1</v>
      </c>
    </row>
    <row r="32" spans="1:27" x14ac:dyDescent="0.25">
      <c r="Y32" s="22">
        <f>SUM(S14:S23)</f>
        <v>0</v>
      </c>
      <c r="Z32" t="s">
        <v>23</v>
      </c>
      <c r="AA32">
        <v>1</v>
      </c>
    </row>
    <row r="33" spans="25:27" x14ac:dyDescent="0.25">
      <c r="Y33" s="22">
        <f>SUM(T14:T23)</f>
        <v>0</v>
      </c>
      <c r="Z33" t="s">
        <v>23</v>
      </c>
      <c r="AA33">
        <v>1</v>
      </c>
    </row>
    <row r="34" spans="25:27" x14ac:dyDescent="0.25">
      <c r="Y34" s="22">
        <f>SUM(U14:U23)</f>
        <v>1</v>
      </c>
      <c r="Z34" t="s">
        <v>23</v>
      </c>
      <c r="AA34">
        <v>1</v>
      </c>
    </row>
    <row r="35" spans="25:27" x14ac:dyDescent="0.25">
      <c r="Y35" s="22">
        <f>SUM(V14:V23)</f>
        <v>1</v>
      </c>
      <c r="Z35" t="s">
        <v>23</v>
      </c>
      <c r="AA35">
        <v>1</v>
      </c>
    </row>
    <row r="36" spans="25:27" x14ac:dyDescent="0.25">
      <c r="Y36" s="22">
        <f>SUM(W14:W23)</f>
        <v>0</v>
      </c>
      <c r="Z36" t="s">
        <v>23</v>
      </c>
      <c r="AA36">
        <v>1</v>
      </c>
    </row>
    <row r="37" spans="25:27" x14ac:dyDescent="0.25">
      <c r="Y37" s="22"/>
    </row>
    <row r="38" spans="25:27" x14ac:dyDescent="0.25">
      <c r="Y38" s="22">
        <f>SUM(P19:W19) + SUM(P20:W20)</f>
        <v>1</v>
      </c>
      <c r="Z38" t="s">
        <v>23</v>
      </c>
      <c r="AA38">
        <v>1</v>
      </c>
    </row>
    <row r="39" spans="25:27" x14ac:dyDescent="0.25">
      <c r="Y39" s="22">
        <f>SUM(P20:W20) + SUM(P21:W21)</f>
        <v>1</v>
      </c>
      <c r="Z39" t="s">
        <v>23</v>
      </c>
      <c r="AA39">
        <v>1</v>
      </c>
    </row>
  </sheetData>
  <conditionalFormatting sqref="C3:J12">
    <cfRule type="cellIs" dxfId="0" priority="1" operator="greaterThan">
      <formula>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2026-02-16T14:42:12Z</dcterms:created>
  <dcterms:modified xsi:type="dcterms:W3CDTF">2026-04-08T06:48:46Z</dcterms:modified>
</cp:coreProperties>
</file>